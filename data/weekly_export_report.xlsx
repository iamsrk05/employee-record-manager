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_Robot\Desktop\Assignments\BBA\Report_query\"/>
    </mc:Choice>
  </mc:AlternateContent>
  <xr:revisionPtr revIDLastSave="0" documentId="8_{BCBA4CBA-29CB-42B0-9EAA-F05B2AA5774D}" xr6:coauthVersionLast="47" xr6:coauthVersionMax="47" xr10:uidLastSave="{00000000-0000-0000-0000-000000000000}"/>
  <bookViews>
    <workbookView xWindow="-108" yWindow="-108" windowWidth="23256" windowHeight="12456" activeTab="1" xr2:uid="{1E574074-29D6-4993-83B8-665BC0A80952}"/>
  </bookViews>
  <sheets>
    <sheet name="Sheet1" sheetId="2" r:id="rId1"/>
    <sheet name="weekly_report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H2" i="1" l="1" a="1"/>
  <c r="H2" i="1" s="1"/>
  <c r="G2" i="1" a="1"/>
  <c r="G2" i="1" s="1"/>
  <c r="I5" i="1" l="1" a="1"/>
  <c r="I5" i="1" s="1"/>
  <c r="K3" i="1" a="1"/>
  <c r="K3" i="1" s="1"/>
  <c r="J3" i="1" a="1"/>
  <c r="J3" i="1" s="1"/>
  <c r="K2" i="1" a="1"/>
  <c r="K2" i="1" s="1"/>
  <c r="K8" i="1" a="1"/>
  <c r="K8" i="1" s="1"/>
  <c r="J4" i="1" a="1"/>
  <c r="J4" i="1" s="1"/>
  <c r="I4" i="1" a="1"/>
  <c r="I4" i="1" s="1"/>
  <c r="I3" i="1" a="1"/>
  <c r="I3" i="1" s="1"/>
  <c r="I2" i="1" a="1"/>
  <c r="I2" i="1" s="1"/>
  <c r="J8" i="1" a="1"/>
  <c r="J8" i="1" s="1"/>
  <c r="K7" i="1" a="1"/>
  <c r="K7" i="1" s="1"/>
  <c r="I8" i="1" a="1"/>
  <c r="I8" i="1" s="1"/>
  <c r="J7" i="1" a="1"/>
  <c r="J7" i="1" s="1"/>
  <c r="K6" i="1" a="1"/>
  <c r="K6" i="1" s="1"/>
  <c r="J2" i="1" a="1"/>
  <c r="J2" i="1" s="1"/>
  <c r="I7" i="1" a="1"/>
  <c r="I7" i="1" s="1"/>
  <c r="J6" i="1" a="1"/>
  <c r="J6" i="1" s="1"/>
  <c r="K5" i="1" a="1"/>
  <c r="K5" i="1" s="1"/>
  <c r="I6" i="1" a="1"/>
  <c r="I6" i="1" s="1"/>
  <c r="J5" i="1" a="1"/>
  <c r="J5" i="1" s="1"/>
  <c r="K4" i="1" a="1"/>
  <c r="K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<sst xmlns="http://schemas.openxmlformats.org/spreadsheetml/2006/main" count="169" uniqueCount="41">
  <si>
    <t>oilName</t>
  </si>
  <si>
    <t>usageDescription</t>
  </si>
  <si>
    <t>quantity</t>
  </si>
  <si>
    <t>exportCompanyName</t>
  </si>
  <si>
    <t>exportDate</t>
  </si>
  <si>
    <t>Gasoline</t>
  </si>
  <si>
    <t>Motor gasoline for internal combustion engines</t>
  </si>
  <si>
    <t>Australia</t>
  </si>
  <si>
    <t>AUS Energy Pty</t>
  </si>
  <si>
    <t>Norway</t>
  </si>
  <si>
    <t>Norway Oil Export</t>
  </si>
  <si>
    <t>Turkey</t>
  </si>
  <si>
    <t>Turkish Energy A.S.</t>
  </si>
  <si>
    <t>Jordan</t>
  </si>
  <si>
    <t>Jordan Petroleum Co</t>
  </si>
  <si>
    <t>South Korea</t>
  </si>
  <si>
    <t>Korea Energy Corp</t>
  </si>
  <si>
    <t>Japan</t>
  </si>
  <si>
    <t>Japan Oil Trading</t>
  </si>
  <si>
    <t>Diesel</t>
  </si>
  <si>
    <t>Heavy-duty vehicles and heating</t>
  </si>
  <si>
    <t>China</t>
  </si>
  <si>
    <t>China Petro Export</t>
  </si>
  <si>
    <t>Jet Fuel</t>
  </si>
  <si>
    <t>Aviation kerosene fuel</t>
  </si>
  <si>
    <t>Sino Export Ltd</t>
  </si>
  <si>
    <t>Heating Oil</t>
  </si>
  <si>
    <t>Residential and industrial heating</t>
  </si>
  <si>
    <t>LPG</t>
  </si>
  <si>
    <t>Liquefied petroleum gas â€“ propane and butane</t>
  </si>
  <si>
    <t>Refinery Gas</t>
  </si>
  <si>
    <t>Used within refinery process</t>
  </si>
  <si>
    <t>Grand Total</t>
  </si>
  <si>
    <t>Country Name</t>
  </si>
  <si>
    <t>Total Quantity</t>
  </si>
  <si>
    <t>CompanyAbbreviation</t>
  </si>
  <si>
    <t>Country</t>
  </si>
  <si>
    <t>Companies</t>
  </si>
  <si>
    <t>Start Date</t>
  </si>
  <si>
    <t>End Date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</si>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</sst>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[weekly_report.xlsx]Sheet1!PivotTable1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Export Quantity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Jordan</c:v>
                </c:pt>
                <c:pt idx="4">
                  <c:v>Norway</c:v>
                </c:pt>
                <c:pt idx="5">
                  <c:v>South Korea</c:v>
                </c:pt>
                <c:pt idx="6">
                  <c:v>Turkey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4160000</c:v>
                </c:pt>
                <c:pt idx="1">
                  <c:v>3470000</c:v>
                </c:pt>
                <c:pt idx="2">
                  <c:v>3360000</c:v>
                </c:pt>
                <c:pt idx="3">
                  <c:v>3290000</c:v>
                </c:pt>
                <c:pt idx="4">
                  <c:v>4130299</c:v>
                </c:pt>
                <c:pt idx="5">
                  <c:v>3570000</c:v>
                </c:pt>
                <c:pt idx="6">
                  <c:v>3530000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B-450A-B86A-4293767AA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475455"/>
        <c:axId val="898064591"/>
      </c:barChart>
      <c:catAx>
        <c:axId val="94247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064591"/>
        <c:crosses val="autoZero"/>
        <c:auto val="1"/>
        <c:lblAlgn val="ctr"/>
        <c:lblOffset val="100"/>
        <c:noMultiLvlLbl val="0"/>
      </c:catAx>
      <c:valAx>
        <c:axId val="8980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7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[weekly_report.xlsx]Sheet1!PivotTable1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Export Distribution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Sheet1!$A$4:$A$11</c:f>
              <c:strCache>
                <c:ptCount val="7"/>
                <c:pt idx="0">
                  <c:v>Australia</c:v>
                </c:pt>
                <c:pt idx="1">
                  <c:v>China</c:v>
                </c:pt>
                <c:pt idx="2">
                  <c:v>Japan</c:v>
                </c:pt>
                <c:pt idx="3">
                  <c:v>Jordan</c:v>
                </c:pt>
                <c:pt idx="4">
                  <c:v>Norway</c:v>
                </c:pt>
                <c:pt idx="5">
                  <c:v>South Korea</c:v>
                </c:pt>
                <c:pt idx="6">
                  <c:v>Turkey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4160000</c:v>
                </c:pt>
                <c:pt idx="1">
                  <c:v>3470000</c:v>
                </c:pt>
                <c:pt idx="2">
                  <c:v>3360000</c:v>
                </c:pt>
                <c:pt idx="3">
                  <c:v>3290000</c:v>
                </c:pt>
                <c:pt idx="4">
                  <c:v>4130299</c:v>
                </c:pt>
                <c:pt idx="5">
                  <c:v>3570000</c:v>
                </c:pt>
                <c:pt idx="6">
                  <c:v>3530000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F-4BBF-AA4F-2006F2097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21772</xdr:colOff>
      <xdr:row>2</xdr:row>
      <xdr:rowOff>5443</xdr:rowOff>
    </xdr:from>
    <xdr:to>
      <xdr:col>10</xdr:col>
      <xdr:colOff>163286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DCAE7-3D30-6EE2-4DD6-17CB893BF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21772</xdr:colOff>
      <xdr:row>2</xdr:row>
      <xdr:rowOff>70756</xdr:rowOff>
    </xdr:from>
    <xdr:to>
      <xdr:col>18</xdr:col>
      <xdr:colOff>315686</xdr:colOff>
      <xdr:row>18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DEA35-4C63-8C55-AEA8-55E3B39C5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_Robot" refreshedDate="46122.882182754627" createdVersion="8" refreshedVersion="8" minRefreshableVersion="3" recordCount="38" xr:uid="{2F1BAB30-D92F-4308-A3F6-94C1E683BF3F}">
  <cacheSource type="worksheet">
    <worksheetSource ref="A1:F1048576" sheet="weekly_report"/>
  </cacheSource>
  <cacheFields count="6">
    <cacheField name="oilName" numFmtId="0">
      <sharedItems containsBlank="1" count="7">
        <s v="Gasoline"/>
        <s v="Diesel"/>
        <s v="Jet Fuel"/>
        <s v="Heating Oil"/>
        <s v="LPG"/>
        <s v="Refinery Gas"/>
        <m/>
      </sharedItems>
    </cacheField>
    <cacheField name="usageDescription" numFmtId="0">
      <sharedItems containsBlank="1"/>
    </cacheField>
    <cacheField name="CountryName" numFmtId="0">
      <sharedItems containsBlank="1" count="8">
        <s v="Australia"/>
        <s v="Norway"/>
        <s v="Turkey"/>
        <s v="Jordan"/>
        <s v="South Korea"/>
        <s v="Japan"/>
        <s v="China"/>
        <m/>
      </sharedItems>
    </cacheField>
    <cacheField name="quantity" numFmtId="0">
      <sharedItems containsString="0" containsBlank="1" containsNumber="1" containsInteger="1" minValue="500000" maxValue="860000"/>
    </cacheField>
    <cacheField name="exportCompanyName" numFmtId="0">
      <sharedItems containsBlank="1"/>
    </cacheField>
    <cacheField name="exportDate" numFmtId="0">
      <sharedItems containsNonDate="0" containsDate="1" containsString="0" containsBlank="1" minDate="2025-11-05T00:00:00" maxDate="2025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s v="Motor gasoline for internal combustion engines"/>
    <x v="0"/>
    <n v="650000"/>
    <s v="AUS Energy Pty"/>
    <d v="2025-11-05T00:00:00"/>
  </r>
  <r>
    <x v="0"/>
    <s v="Motor gasoline for internal combustion engines"/>
    <x v="1"/>
    <n v="680000"/>
    <s v="Norway Oil Export"/>
    <d v="2025-11-11T00:00:00"/>
  </r>
  <r>
    <x v="0"/>
    <s v="Motor gasoline for internal combustion engines"/>
    <x v="2"/>
    <n v="690000"/>
    <s v="Turkish Energy A.S."/>
    <d v="2025-11-17T00:00:00"/>
  </r>
  <r>
    <x v="0"/>
    <s v="Motor gasoline for internal combustion engines"/>
    <x v="3"/>
    <n v="640000"/>
    <s v="Jordan Petroleum Co"/>
    <d v="2025-11-23T00:00:00"/>
  </r>
  <r>
    <x v="0"/>
    <s v="Motor gasoline for internal combustion engines"/>
    <x v="4"/>
    <n v="670000"/>
    <s v="Korea Energy Corp"/>
    <d v="2025-12-04T00:00:00"/>
  </r>
  <r>
    <x v="0"/>
    <s v="Motor gasoline for internal combustion engines"/>
    <x v="5"/>
    <n v="660000"/>
    <s v="Japan Oil Trading"/>
    <d v="2025-12-10T00:00:00"/>
  </r>
  <r>
    <x v="1"/>
    <s v="Heavy-duty vehicles and heating"/>
    <x v="6"/>
    <n v="720000"/>
    <s v="China Petro Export"/>
    <d v="2025-11-06T00:00:00"/>
  </r>
  <r>
    <x v="1"/>
    <s v="Heavy-duty vehicles and heating"/>
    <x v="0"/>
    <n v="700000"/>
    <s v="AUS Energy Pty"/>
    <d v="2025-11-12T00:00:00"/>
  </r>
  <r>
    <x v="1"/>
    <s v="Heavy-duty vehicles and heating"/>
    <x v="1"/>
    <n v="740000"/>
    <s v="Norway Oil Export"/>
    <d v="2025-11-18T00:00:00"/>
  </r>
  <r>
    <x v="1"/>
    <s v="Heavy-duty vehicles and heating"/>
    <x v="2"/>
    <n v="710000"/>
    <s v="Turkish Energy A.S."/>
    <d v="2025-11-24T00:00:00"/>
  </r>
  <r>
    <x v="1"/>
    <s v="Heavy-duty vehicles and heating"/>
    <x v="3"/>
    <n v="730000"/>
    <s v="Jordan Petroleum Co"/>
    <d v="2025-12-05T00:00:00"/>
  </r>
  <r>
    <x v="1"/>
    <s v="Heavy-duty vehicles and heating"/>
    <x v="4"/>
    <n v="720000"/>
    <s v="Korea Energy Corp"/>
    <d v="2025-12-11T00:00:00"/>
  </r>
  <r>
    <x v="2"/>
    <s v="Aviation kerosene fuel"/>
    <x v="1"/>
    <n v="710299"/>
    <s v="China Petro Export"/>
    <d v="2025-12-20T00:00:00"/>
  </r>
  <r>
    <x v="2"/>
    <s v="Aviation kerosene fuel"/>
    <x v="5"/>
    <n v="500000"/>
    <s v="Japan Oil Trading"/>
    <d v="2025-11-07T00:00:00"/>
  </r>
  <r>
    <x v="2"/>
    <s v="Aviation kerosene fuel"/>
    <x v="6"/>
    <n v="520000"/>
    <s v="Sino Export Ltd"/>
    <d v="2025-11-13T00:00:00"/>
  </r>
  <r>
    <x v="2"/>
    <s v="Aviation kerosene fuel"/>
    <x v="0"/>
    <n v="560000"/>
    <s v="AUS Energy Pty"/>
    <d v="2025-11-19T00:00:00"/>
  </r>
  <r>
    <x v="2"/>
    <s v="Aviation kerosene fuel"/>
    <x v="1"/>
    <n v="530000"/>
    <s v="Norway Oil Export"/>
    <d v="2025-11-25T00:00:00"/>
  </r>
  <r>
    <x v="2"/>
    <s v="Aviation kerosene fuel"/>
    <x v="2"/>
    <n v="540000"/>
    <s v="Turkish Energy A.S."/>
    <d v="2025-12-06T00:00:00"/>
  </r>
  <r>
    <x v="2"/>
    <s v="Aviation kerosene fuel"/>
    <x v="3"/>
    <n v="550000"/>
    <s v="Jordan Petroleum Co"/>
    <d v="2025-12-12T00:00:00"/>
  </r>
  <r>
    <x v="3"/>
    <s v="Residential and industrial heating"/>
    <x v="4"/>
    <n v="810000"/>
    <s v="Korea Energy Corp"/>
    <d v="2025-11-08T00:00:00"/>
  </r>
  <r>
    <x v="3"/>
    <s v="Residential and industrial heating"/>
    <x v="5"/>
    <n v="830000"/>
    <s v="Japan Oil Trading"/>
    <d v="2025-11-14T00:00:00"/>
  </r>
  <r>
    <x v="3"/>
    <s v="Residential and industrial heating"/>
    <x v="6"/>
    <n v="820000"/>
    <s v="China Petro Export"/>
    <d v="2025-11-20T00:00:00"/>
  </r>
  <r>
    <x v="3"/>
    <s v="Residential and industrial heating"/>
    <x v="0"/>
    <n v="850000"/>
    <s v="AUS Energy Pty"/>
    <d v="2025-12-01T00:00:00"/>
  </r>
  <r>
    <x v="3"/>
    <s v="Residential and industrial heating"/>
    <x v="1"/>
    <n v="860000"/>
    <s v="Norway Oil Export"/>
    <d v="2025-12-07T00:00:00"/>
  </r>
  <r>
    <x v="3"/>
    <s v="Residential and industrial heating"/>
    <x v="2"/>
    <n v="840000"/>
    <s v="Turkish Energy A.S."/>
    <d v="2025-12-13T00:00:00"/>
  </r>
  <r>
    <x v="4"/>
    <s v="Liquefied petroleum gas â€“ propane and butane"/>
    <x v="3"/>
    <n v="600000"/>
    <s v="Jordan Petroleum Co"/>
    <d v="2025-11-09T00:00:00"/>
  </r>
  <r>
    <x v="4"/>
    <s v="Liquefied petroleum gas â€“ propane and butane"/>
    <x v="4"/>
    <n v="610000"/>
    <s v="Korea Energy Corp"/>
    <d v="2025-11-15T00:00:00"/>
  </r>
  <r>
    <x v="4"/>
    <s v="Liquefied petroleum gas â€“ propane and butane"/>
    <x v="5"/>
    <n v="590000"/>
    <s v="Japan Oil Trading"/>
    <d v="2025-11-21T00:00:00"/>
  </r>
  <r>
    <x v="4"/>
    <s v="Liquefied petroleum gas â€“ propane and butane"/>
    <x v="6"/>
    <n v="620000"/>
    <s v="Sino Export Ltd"/>
    <d v="2025-12-02T00:00:00"/>
  </r>
  <r>
    <x v="4"/>
    <s v="Liquefied petroleum gas â€“ propane and butane"/>
    <x v="0"/>
    <n v="600000"/>
    <s v="AUS Energy Pty"/>
    <d v="2025-12-08T00:00:00"/>
  </r>
  <r>
    <x v="4"/>
    <s v="Liquefied petroleum gas â€“ propane and butane"/>
    <x v="1"/>
    <n v="610000"/>
    <s v="Norway Oil Export"/>
    <d v="2025-12-14T00:00:00"/>
  </r>
  <r>
    <x v="5"/>
    <s v="Used within refinery process"/>
    <x v="2"/>
    <n v="750000"/>
    <s v="Turkish Energy A.S."/>
    <d v="2025-11-10T00:00:00"/>
  </r>
  <r>
    <x v="5"/>
    <s v="Used within refinery process"/>
    <x v="3"/>
    <n v="770000"/>
    <s v="Jordan Petroleum Co"/>
    <d v="2025-11-16T00:00:00"/>
  </r>
  <r>
    <x v="5"/>
    <s v="Used within refinery process"/>
    <x v="4"/>
    <n v="760000"/>
    <s v="Korea Energy Corp"/>
    <d v="2025-11-22T00:00:00"/>
  </r>
  <r>
    <x v="5"/>
    <s v="Used within refinery process"/>
    <x v="5"/>
    <n v="780000"/>
    <s v="Japan Oil Trading"/>
    <d v="2025-12-03T00:00:00"/>
  </r>
  <r>
    <x v="5"/>
    <s v="Used within refinery process"/>
    <x v="6"/>
    <n v="790000"/>
    <s v="China Petro Export"/>
    <d v="2025-12-09T00:00:00"/>
  </r>
  <r>
    <x v="5"/>
    <s v="Used within refinery process"/>
    <x v="0"/>
    <n v="800000"/>
    <s v="AUS Energy Pty"/>
    <d v="2025-12-15T00:00:00"/>
  </r>
  <r>
    <x v="6"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F9FE0-CF8D-4E7F-9231-34CBDE22D0D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untry Name">
  <location ref="A3:B11" firstHeaderRow="1" firstDataRow="1" firstDataCol="1"/>
  <pivotFields count="6"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axis="axisRow" showAll="0">
      <items count="9">
        <item x="0"/>
        <item x="6"/>
        <item x="5"/>
        <item x="3"/>
        <item x="1"/>
        <item x="4"/>
        <item x="2"/>
        <item h="1" x="7"/>
        <item t="default"/>
      </items>
    </pivotField>
    <pivotField dataField="1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Quantity" fld="3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A7BB-8733-4F11-9E6F-022F92CA5B85}">
  <dimension ref="A3:B11"/>
  <sheetViews>
    <sheetView zoomScale="70" zoomScaleNormal="70" workbookViewId="0">
      <selection activeCell="E8" sqref="A1:XFD1048576"/>
    </sheetView>
  </sheetViews>
  <sheetFormatPr defaultRowHeight="14.4" x14ac:dyDescent="0.3"/>
  <cols>
    <col min="1" max="1" width="16.33203125" bestFit="1" customWidth="1"/>
    <col min="2" max="2" width="13" bestFit="1" customWidth="1"/>
  </cols>
  <sheetData>
    <row r="3" spans="1:2" x14ac:dyDescent="0.3">
      <c r="A3" s="2" t="s">
        <v>33</v>
      </c>
      <c r="B3" t="s">
        <v>34</v>
      </c>
    </row>
    <row r="4" spans="1:2" x14ac:dyDescent="0.3">
      <c r="A4" s="3" t="s">
        <v>7</v>
      </c>
      <c r="B4" s="4">
        <v>4160000</v>
      </c>
    </row>
    <row r="5" spans="1:2" x14ac:dyDescent="0.3">
      <c r="A5" s="3" t="s">
        <v>21</v>
      </c>
      <c r="B5" s="4">
        <v>3470000</v>
      </c>
    </row>
    <row r="6" spans="1:2" x14ac:dyDescent="0.3">
      <c r="A6" s="3" t="s">
        <v>17</v>
      </c>
      <c r="B6" s="4">
        <v>3360000</v>
      </c>
    </row>
    <row r="7" spans="1:2" x14ac:dyDescent="0.3">
      <c r="A7" s="3" t="s">
        <v>13</v>
      </c>
      <c r="B7" s="4">
        <v>3290000</v>
      </c>
    </row>
    <row r="8" spans="1:2" x14ac:dyDescent="0.3">
      <c r="A8" s="3" t="s">
        <v>9</v>
      </c>
      <c r="B8" s="4">
        <v>4130299</v>
      </c>
    </row>
    <row r="9" spans="1:2" x14ac:dyDescent="0.3">
      <c r="A9" s="3" t="s">
        <v>15</v>
      </c>
      <c r="B9" s="4">
        <v>3570000</v>
      </c>
    </row>
    <row r="10" spans="1:2" x14ac:dyDescent="0.3">
      <c r="A10" s="3" t="s">
        <v>11</v>
      </c>
      <c r="B10" s="4">
        <v>3530000</v>
      </c>
    </row>
    <row r="11" spans="1:2" x14ac:dyDescent="0.3">
      <c r="A11" s="3" t="s">
        <v>32</v>
      </c>
      <c r="B11" s="4">
        <v>25510299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0239-7C9D-4D00-91F0-CF0739056F6F}">
  <dimension ref="A1:K38"/>
  <sheetViews>
    <sheetView tabSelected="1" workbookViewId="0">
      <selection activeCell="H8" sqref="H8"/>
    </sheetView>
  </sheetViews>
  <sheetFormatPr defaultRowHeight="14.4" x14ac:dyDescent="0.3"/>
  <cols>
    <col min="1" max="1" width="14.6640625" customWidth="1"/>
    <col min="2" max="2" width="47.21875" customWidth="1"/>
    <col min="3" max="3" width="14.33203125" customWidth="1"/>
    <col min="5" max="5" width="18" customWidth="1"/>
    <col min="6" max="6" width="15.44140625" customWidth="1"/>
    <col min="7" max="7" width="19.6640625" customWidth="1"/>
    <col min="8" max="8" width="19.33203125" customWidth="1"/>
    <col min="9" max="9" width="37" customWidth="1"/>
    <col min="10" max="10" width="12.44140625" style="1" customWidth="1"/>
    <col min="11" max="11" width="13.88671875" style="1" customWidth="1"/>
  </cols>
  <sheetData>
    <row r="1" spans="1:11" x14ac:dyDescent="0.3">
      <c r="A1" s="5" t="s">
        <v>0</v>
      </c>
      <c r="B1" s="5" t="s">
        <v>1</v>
      </c>
      <c r="C1" s="5" t="s">
        <v>36</v>
      </c>
      <c r="D1" s="5" t="s">
        <v>2</v>
      </c>
      <c r="E1" s="5" t="s">
        <v>3</v>
      </c>
      <c r="F1" s="5" t="s">
        <v>4</v>
      </c>
      <c r="G1" s="5" t="s">
        <v>35</v>
      </c>
      <c r="H1" s="5" t="s">
        <v>40</v>
      </c>
      <c r="I1" s="5" t="s">
        <v>37</v>
      </c>
      <c r="J1" s="6" t="s">
        <v>38</v>
      </c>
      <c r="K1" s="6" t="s">
        <v>39</v>
      </c>
    </row>
    <row r="2" spans="1:11" x14ac:dyDescent="0.3">
      <c r="A2" s="5" t="s">
        <v>5</v>
      </c>
      <c r="B2" s="5" t="s">
        <v>6</v>
      </c>
      <c r="C2" s="5" t="s">
        <v>7</v>
      </c>
      <c r="D2" s="5">
        <v>650000</v>
      </c>
      <c r="E2" s="5" t="s">
        <v>8</v>
      </c>
      <c r="F2" s="6">
        <v>45966</v>
      </c>
      <c r="G2" s="5" t="str" cm="1">
        <f t="array" ref="G2:G38">LEFT(E2:E38,1)&amp;MID(E2,FIND(" ",E2)+1,1)&amp;MID(E2,FIND(" ",E2,FIND(" ",E2)+1)+1,1)</f>
        <v>AEP</v>
      </c>
      <c r="H2" s="5" t="str" cm="1">
        <f t="array" ref="H2:H8">_xlfn._xlws.SORT(_xlfn.UNIQUE(_xlfn._xlws.FILTER(C2:C100, C2:C100&lt;&gt;"")))</f>
        <v>Australia</v>
      </c>
      <c r="I2" s="5" t="str" cm="1">
        <f t="array" ref="I2">IFERROR(_xlfn.TEXTJOIN(", ",TRUE,_xlfn.UNIQUE(_xlfn._xlws.FILTER($E$2:$E$100,$C$2:$C$100=H2))),"")</f>
        <v>AUS Energy Pty</v>
      </c>
      <c r="J2" s="6" cm="1">
        <f t="array" ref="J2">MIN(_xlfn._xlws.FILTER($F$2:$F$100,$C$2:$C$100=H2))</f>
        <v>45966</v>
      </c>
      <c r="K2" s="6" cm="1">
        <f t="array" ref="K2">MAX(_xlfn._xlws.FILTER($F$2:$F$100,$C$2:$C$100=H2))</f>
        <v>46006</v>
      </c>
    </row>
    <row r="3" spans="1:11" x14ac:dyDescent="0.3">
      <c r="A3" s="5" t="s">
        <v>5</v>
      </c>
      <c r="B3" s="5" t="s">
        <v>6</v>
      </c>
      <c r="C3" s="5" t="s">
        <v>9</v>
      </c>
      <c r="D3" s="5">
        <v>680000</v>
      </c>
      <c r="E3" s="5" t="s">
        <v>10</v>
      </c>
      <c r="F3" s="6">
        <v>45972</v>
      </c>
      <c r="G3" s="5" t="str">
        <v>NEP</v>
      </c>
      <c r="H3" s="5" t="str">
        <v>China</v>
      </c>
      <c r="I3" s="5" t="str" cm="1">
        <f t="array" ref="I3">IFERROR(_xlfn.TEXTJOIN(", ",TRUE,_xlfn.UNIQUE(_xlfn._xlws.FILTER($E$2:$E$100,$C$2:$C$100=H3))),"")</f>
        <v>China Petro Export, Sino Export Ltd</v>
      </c>
      <c r="J3" s="6" cm="1">
        <f t="array" ref="J3">MIN(_xlfn._xlws.FILTER($F$2:$F$100,$C$2:$C$100=H3))</f>
        <v>45967</v>
      </c>
      <c r="K3" s="6" cm="1">
        <f t="array" ref="K3">MAX(_xlfn._xlws.FILTER($F$2:$F$100,$C$2:$C$100=H3))</f>
        <v>46000</v>
      </c>
    </row>
    <row r="4" spans="1:11" x14ac:dyDescent="0.3">
      <c r="A4" s="5" t="s">
        <v>5</v>
      </c>
      <c r="B4" s="5" t="s">
        <v>6</v>
      </c>
      <c r="C4" s="5" t="s">
        <v>11</v>
      </c>
      <c r="D4" s="5">
        <v>690000</v>
      </c>
      <c r="E4" s="5" t="s">
        <v>12</v>
      </c>
      <c r="F4" s="6">
        <v>45978</v>
      </c>
      <c r="G4" s="5" t="str">
        <v>TEP</v>
      </c>
      <c r="H4" s="5" t="str">
        <v>Japan</v>
      </c>
      <c r="I4" s="5" t="str" cm="1">
        <f t="array" ref="I4">IFERROR(_xlfn.TEXTJOIN(", ",TRUE,_xlfn.UNIQUE(_xlfn._xlws.FILTER($E$2:$E$100,$C$2:$C$100=H4))),"")</f>
        <v>Japan Oil Trading</v>
      </c>
      <c r="J4" s="6" cm="1">
        <f t="array" ref="J4">MIN(_xlfn._xlws.FILTER($F$2:$F$100,$C$2:$C$100=H4))</f>
        <v>45968</v>
      </c>
      <c r="K4" s="6" cm="1">
        <f t="array" ref="K4">MAX(_xlfn._xlws.FILTER($F$2:$F$100,$C$2:$C$100=H4))</f>
        <v>46001</v>
      </c>
    </row>
    <row r="5" spans="1:11" x14ac:dyDescent="0.3">
      <c r="A5" s="5" t="s">
        <v>5</v>
      </c>
      <c r="B5" s="5" t="s">
        <v>6</v>
      </c>
      <c r="C5" s="5" t="s">
        <v>13</v>
      </c>
      <c r="D5" s="5">
        <v>640000</v>
      </c>
      <c r="E5" s="5" t="s">
        <v>14</v>
      </c>
      <c r="F5" s="6">
        <v>45984</v>
      </c>
      <c r="G5" s="5" t="str">
        <v>JEP</v>
      </c>
      <c r="H5" s="5" t="str">
        <v>Jordan</v>
      </c>
      <c r="I5" s="5" t="str" cm="1">
        <f t="array" ref="I5">IFERROR(_xlfn.TEXTJOIN(", ",TRUE,_xlfn.UNIQUE(_xlfn._xlws.FILTER($E$2:$E$100,$C$2:$C$100=H5))),"")</f>
        <v>Jordan Petroleum Co</v>
      </c>
      <c r="J5" s="6" cm="1">
        <f t="array" ref="J5">MIN(_xlfn._xlws.FILTER($F$2:$F$100,$C$2:$C$100=H5))</f>
        <v>45970</v>
      </c>
      <c r="K5" s="6" cm="1">
        <f t="array" ref="K5">MAX(_xlfn._xlws.FILTER($F$2:$F$100,$C$2:$C$100=H5))</f>
        <v>46003</v>
      </c>
    </row>
    <row r="6" spans="1:11" x14ac:dyDescent="0.3">
      <c r="A6" s="5" t="s">
        <v>5</v>
      </c>
      <c r="B6" s="5" t="s">
        <v>6</v>
      </c>
      <c r="C6" s="5" t="s">
        <v>15</v>
      </c>
      <c r="D6" s="5">
        <v>670000</v>
      </c>
      <c r="E6" s="5" t="s">
        <v>16</v>
      </c>
      <c r="F6" s="6">
        <v>45995</v>
      </c>
      <c r="G6" s="5" t="str">
        <v>KEP</v>
      </c>
      <c r="H6" s="5" t="str">
        <v>Norway</v>
      </c>
      <c r="I6" s="5" t="str" cm="1">
        <f t="array" ref="I6">IFERROR(_xlfn.TEXTJOIN(", ",TRUE,_xlfn.UNIQUE(_xlfn._xlws.FILTER($E$2:$E$100,$C$2:$C$100=H6))),"")</f>
        <v>Norway Oil Export, China Petro Export</v>
      </c>
      <c r="J6" s="6" cm="1">
        <f t="array" ref="J6">MIN(_xlfn._xlws.FILTER($F$2:$F$100,$C$2:$C$100=H6))</f>
        <v>45972</v>
      </c>
      <c r="K6" s="6" cm="1">
        <f t="array" ref="K6">MAX(_xlfn._xlws.FILTER($F$2:$F$100,$C$2:$C$100=H6))</f>
        <v>46011</v>
      </c>
    </row>
    <row r="7" spans="1:11" x14ac:dyDescent="0.3">
      <c r="A7" s="5" t="s">
        <v>5</v>
      </c>
      <c r="B7" s="5" t="s">
        <v>6</v>
      </c>
      <c r="C7" s="5" t="s">
        <v>17</v>
      </c>
      <c r="D7" s="5">
        <v>660000</v>
      </c>
      <c r="E7" s="5" t="s">
        <v>18</v>
      </c>
      <c r="F7" s="6">
        <v>46001</v>
      </c>
      <c r="G7" s="5" t="str">
        <v>JEP</v>
      </c>
      <c r="H7" s="5" t="str">
        <v>South Korea</v>
      </c>
      <c r="I7" s="5" t="str" cm="1">
        <f t="array" ref="I7">IFERROR(_xlfn.TEXTJOIN(", ",TRUE,_xlfn.UNIQUE(_xlfn._xlws.FILTER($E$2:$E$100,$C$2:$C$100=H7))),"")</f>
        <v>Korea Energy Corp</v>
      </c>
      <c r="J7" s="6" cm="1">
        <f t="array" ref="J7">MIN(_xlfn._xlws.FILTER($F$2:$F$100,$C$2:$C$100=H7))</f>
        <v>45969</v>
      </c>
      <c r="K7" s="6" cm="1">
        <f t="array" ref="K7">MAX(_xlfn._xlws.FILTER($F$2:$F$100,$C$2:$C$100=H7))</f>
        <v>46002</v>
      </c>
    </row>
    <row r="8" spans="1:11" x14ac:dyDescent="0.3">
      <c r="A8" s="5" t="s">
        <v>19</v>
      </c>
      <c r="B8" s="5" t="s">
        <v>20</v>
      </c>
      <c r="C8" s="5" t="s">
        <v>21</v>
      </c>
      <c r="D8" s="5">
        <v>720000</v>
      </c>
      <c r="E8" s="5" t="s">
        <v>22</v>
      </c>
      <c r="F8" s="6">
        <v>45967</v>
      </c>
      <c r="G8" s="5" t="str">
        <v>CEP</v>
      </c>
      <c r="H8" s="5" t="str">
        <v>Turkey</v>
      </c>
      <c r="I8" s="5" t="str" cm="1">
        <f t="array" ref="I8">IFERROR(_xlfn.TEXTJOIN(", ",TRUE,_xlfn.UNIQUE(_xlfn._xlws.FILTER($E$2:$E$100,$C$2:$C$100=#REF!))),"")</f>
        <v/>
      </c>
      <c r="J8" s="6" t="e" cm="1">
        <f t="array" ref="J8">MIN(_xlfn._xlws.FILTER($F$2:$F$100,$C$2:$C$100=#REF!))</f>
        <v>#REF!</v>
      </c>
      <c r="K8" s="6" t="e" cm="1">
        <f t="array" ref="K8">MAX(_xlfn._xlws.FILTER($F$2:$F$100,$C$2:$C$100=#REF!))</f>
        <v>#REF!</v>
      </c>
    </row>
    <row r="9" spans="1:11" x14ac:dyDescent="0.3">
      <c r="A9" s="5" t="s">
        <v>19</v>
      </c>
      <c r="B9" s="5" t="s">
        <v>20</v>
      </c>
      <c r="C9" s="5" t="s">
        <v>7</v>
      </c>
      <c r="D9" s="5">
        <v>700000</v>
      </c>
      <c r="E9" s="5" t="s">
        <v>8</v>
      </c>
      <c r="F9" s="6">
        <v>45973</v>
      </c>
      <c r="G9" s="5" t="str">
        <v>AEP</v>
      </c>
      <c r="I9" s="5"/>
      <c r="J9" s="6"/>
      <c r="K9"/>
    </row>
    <row r="10" spans="1:11" x14ac:dyDescent="0.3">
      <c r="A10" s="5" t="s">
        <v>19</v>
      </c>
      <c r="B10" s="5" t="s">
        <v>20</v>
      </c>
      <c r="C10" s="5" t="s">
        <v>9</v>
      </c>
      <c r="D10" s="5">
        <v>740000</v>
      </c>
      <c r="E10" s="5" t="s">
        <v>10</v>
      </c>
      <c r="F10" s="6">
        <v>45979</v>
      </c>
      <c r="G10" s="5" t="str">
        <v>NEP</v>
      </c>
      <c r="H10" s="5"/>
      <c r="I10" s="5"/>
      <c r="J10" s="6"/>
      <c r="K10" s="6"/>
    </row>
    <row r="11" spans="1:11" x14ac:dyDescent="0.3">
      <c r="A11" s="5" t="s">
        <v>19</v>
      </c>
      <c r="B11" s="5" t="s">
        <v>20</v>
      </c>
      <c r="C11" s="5" t="s">
        <v>11</v>
      </c>
      <c r="D11" s="5">
        <v>710000</v>
      </c>
      <c r="E11" s="5" t="s">
        <v>12</v>
      </c>
      <c r="F11" s="6">
        <v>45985</v>
      </c>
      <c r="G11" s="5" t="str">
        <v>TEP</v>
      </c>
      <c r="H11" s="5"/>
      <c r="I11" s="5"/>
      <c r="J11" s="6"/>
      <c r="K11" s="6"/>
    </row>
    <row r="12" spans="1:11" x14ac:dyDescent="0.3">
      <c r="A12" s="5" t="s">
        <v>19</v>
      </c>
      <c r="B12" s="5" t="s">
        <v>20</v>
      </c>
      <c r="C12" s="5" t="s">
        <v>13</v>
      </c>
      <c r="D12" s="5">
        <v>730000</v>
      </c>
      <c r="E12" s="5" t="s">
        <v>14</v>
      </c>
      <c r="F12" s="6">
        <v>45996</v>
      </c>
      <c r="G12" s="5" t="str">
        <v>JEP</v>
      </c>
      <c r="H12" s="5"/>
      <c r="I12" s="5"/>
      <c r="J12" s="6"/>
      <c r="K12" s="6"/>
    </row>
    <row r="13" spans="1:11" x14ac:dyDescent="0.3">
      <c r="A13" s="5" t="s">
        <v>19</v>
      </c>
      <c r="B13" s="5" t="s">
        <v>20</v>
      </c>
      <c r="C13" s="5" t="s">
        <v>15</v>
      </c>
      <c r="D13" s="5">
        <v>720000</v>
      </c>
      <c r="E13" s="5" t="s">
        <v>16</v>
      </c>
      <c r="F13" s="6">
        <v>46002</v>
      </c>
      <c r="G13" s="5" t="str">
        <v>KEP</v>
      </c>
      <c r="H13" s="5"/>
      <c r="I13" s="5"/>
      <c r="J13" s="6"/>
      <c r="K13" s="6"/>
    </row>
    <row r="14" spans="1:11" x14ac:dyDescent="0.3">
      <c r="A14" s="5" t="s">
        <v>23</v>
      </c>
      <c r="B14" s="5" t="s">
        <v>24</v>
      </c>
      <c r="C14" s="5" t="s">
        <v>9</v>
      </c>
      <c r="D14" s="5">
        <v>710299</v>
      </c>
      <c r="E14" s="5" t="s">
        <v>22</v>
      </c>
      <c r="F14" s="6">
        <v>46011</v>
      </c>
      <c r="G14" s="5" t="str">
        <v>CEP</v>
      </c>
      <c r="H14" s="5"/>
      <c r="I14" s="5"/>
      <c r="J14" s="6"/>
      <c r="K14" s="6"/>
    </row>
    <row r="15" spans="1:11" x14ac:dyDescent="0.3">
      <c r="A15" s="5" t="s">
        <v>23</v>
      </c>
      <c r="B15" s="5" t="s">
        <v>24</v>
      </c>
      <c r="C15" s="5" t="s">
        <v>17</v>
      </c>
      <c r="D15" s="5">
        <v>500000</v>
      </c>
      <c r="E15" s="5" t="s">
        <v>18</v>
      </c>
      <c r="F15" s="6">
        <v>45968</v>
      </c>
      <c r="G15" s="5" t="str">
        <v>JEP</v>
      </c>
      <c r="H15" s="5"/>
      <c r="I15" s="5"/>
      <c r="J15" s="6"/>
      <c r="K15" s="6"/>
    </row>
    <row r="16" spans="1:11" x14ac:dyDescent="0.3">
      <c r="A16" s="5" t="s">
        <v>23</v>
      </c>
      <c r="B16" s="5" t="s">
        <v>24</v>
      </c>
      <c r="C16" s="5" t="s">
        <v>21</v>
      </c>
      <c r="D16" s="5">
        <v>520000</v>
      </c>
      <c r="E16" s="5" t="s">
        <v>25</v>
      </c>
      <c r="F16" s="6">
        <v>45974</v>
      </c>
      <c r="G16" s="5" t="str">
        <v>SEP</v>
      </c>
      <c r="H16" s="5"/>
      <c r="I16" s="5"/>
      <c r="J16" s="6"/>
      <c r="K16" s="6"/>
    </row>
    <row r="17" spans="1:11" x14ac:dyDescent="0.3">
      <c r="A17" s="5" t="s">
        <v>23</v>
      </c>
      <c r="B17" s="5" t="s">
        <v>24</v>
      </c>
      <c r="C17" s="5" t="s">
        <v>7</v>
      </c>
      <c r="D17" s="5">
        <v>560000</v>
      </c>
      <c r="E17" s="5" t="s">
        <v>8</v>
      </c>
      <c r="F17" s="6">
        <v>45980</v>
      </c>
      <c r="G17" s="5" t="str">
        <v>AEP</v>
      </c>
      <c r="H17" s="5"/>
      <c r="I17" s="5"/>
      <c r="J17" s="6"/>
      <c r="K17" s="6"/>
    </row>
    <row r="18" spans="1:11" x14ac:dyDescent="0.3">
      <c r="A18" s="5" t="s">
        <v>23</v>
      </c>
      <c r="B18" s="5" t="s">
        <v>24</v>
      </c>
      <c r="C18" s="5" t="s">
        <v>9</v>
      </c>
      <c r="D18" s="5">
        <v>530000</v>
      </c>
      <c r="E18" s="5" t="s">
        <v>10</v>
      </c>
      <c r="F18" s="6">
        <v>45986</v>
      </c>
      <c r="G18" s="5" t="str">
        <v>NEP</v>
      </c>
      <c r="H18" s="5"/>
      <c r="I18" s="5"/>
      <c r="J18" s="6"/>
      <c r="K18" s="6"/>
    </row>
    <row r="19" spans="1:11" x14ac:dyDescent="0.3">
      <c r="A19" s="5" t="s">
        <v>23</v>
      </c>
      <c r="B19" s="5" t="s">
        <v>24</v>
      </c>
      <c r="C19" s="5" t="s">
        <v>11</v>
      </c>
      <c r="D19" s="5">
        <v>540000</v>
      </c>
      <c r="E19" s="5" t="s">
        <v>12</v>
      </c>
      <c r="F19" s="6">
        <v>45997</v>
      </c>
      <c r="G19" s="5" t="str">
        <v>TEP</v>
      </c>
      <c r="H19" s="5"/>
      <c r="I19" s="5"/>
      <c r="J19" s="6"/>
      <c r="K19" s="6"/>
    </row>
    <row r="20" spans="1:11" x14ac:dyDescent="0.3">
      <c r="A20" s="5" t="s">
        <v>23</v>
      </c>
      <c r="B20" s="5" t="s">
        <v>24</v>
      </c>
      <c r="C20" s="5" t="s">
        <v>13</v>
      </c>
      <c r="D20" s="5">
        <v>550000</v>
      </c>
      <c r="E20" s="5" t="s">
        <v>14</v>
      </c>
      <c r="F20" s="6">
        <v>46003</v>
      </c>
      <c r="G20" s="5" t="str">
        <v>JEP</v>
      </c>
      <c r="H20" s="5"/>
      <c r="I20" s="5"/>
      <c r="J20" s="6"/>
      <c r="K20" s="6"/>
    </row>
    <row r="21" spans="1:11" x14ac:dyDescent="0.3">
      <c r="A21" s="5" t="s">
        <v>26</v>
      </c>
      <c r="B21" s="5" t="s">
        <v>27</v>
      </c>
      <c r="C21" s="5" t="s">
        <v>15</v>
      </c>
      <c r="D21" s="5">
        <v>810000</v>
      </c>
      <c r="E21" s="5" t="s">
        <v>16</v>
      </c>
      <c r="F21" s="6">
        <v>45969</v>
      </c>
      <c r="G21" s="5" t="str">
        <v>KEP</v>
      </c>
      <c r="H21" s="5"/>
      <c r="I21" s="5"/>
      <c r="J21" s="6"/>
      <c r="K21" s="6"/>
    </row>
    <row r="22" spans="1:11" x14ac:dyDescent="0.3">
      <c r="A22" s="5" t="s">
        <v>26</v>
      </c>
      <c r="B22" s="5" t="s">
        <v>27</v>
      </c>
      <c r="C22" s="5" t="s">
        <v>17</v>
      </c>
      <c r="D22" s="5">
        <v>830000</v>
      </c>
      <c r="E22" s="5" t="s">
        <v>18</v>
      </c>
      <c r="F22" s="6">
        <v>45975</v>
      </c>
      <c r="G22" s="5" t="str">
        <v>JEP</v>
      </c>
      <c r="H22" s="5"/>
      <c r="I22" s="5"/>
      <c r="J22" s="6"/>
      <c r="K22" s="6"/>
    </row>
    <row r="23" spans="1:11" x14ac:dyDescent="0.3">
      <c r="A23" s="5" t="s">
        <v>26</v>
      </c>
      <c r="B23" s="5" t="s">
        <v>27</v>
      </c>
      <c r="C23" s="5" t="s">
        <v>21</v>
      </c>
      <c r="D23" s="5">
        <v>820000</v>
      </c>
      <c r="E23" s="5" t="s">
        <v>22</v>
      </c>
      <c r="F23" s="6">
        <v>45981</v>
      </c>
      <c r="G23" s="5" t="str">
        <v>CEP</v>
      </c>
      <c r="H23" s="5"/>
      <c r="I23" s="5"/>
      <c r="J23" s="6"/>
      <c r="K23" s="6"/>
    </row>
    <row r="24" spans="1:11" x14ac:dyDescent="0.3">
      <c r="A24" s="5" t="s">
        <v>26</v>
      </c>
      <c r="B24" s="5" t="s">
        <v>27</v>
      </c>
      <c r="C24" s="5" t="s">
        <v>7</v>
      </c>
      <c r="D24" s="5">
        <v>850000</v>
      </c>
      <c r="E24" s="5" t="s">
        <v>8</v>
      </c>
      <c r="F24" s="6">
        <v>45992</v>
      </c>
      <c r="G24" s="5" t="str">
        <v>AEP</v>
      </c>
      <c r="H24" s="5"/>
      <c r="I24" s="6"/>
      <c r="J24" s="6"/>
      <c r="K24" s="6"/>
    </row>
    <row r="25" spans="1:11" x14ac:dyDescent="0.3">
      <c r="A25" s="5" t="s">
        <v>26</v>
      </c>
      <c r="B25" s="5" t="s">
        <v>27</v>
      </c>
      <c r="C25" s="5" t="s">
        <v>9</v>
      </c>
      <c r="D25" s="5">
        <v>860000</v>
      </c>
      <c r="E25" s="5" t="s">
        <v>10</v>
      </c>
      <c r="F25" s="6">
        <v>45998</v>
      </c>
      <c r="G25" s="5" t="str">
        <v>NEP</v>
      </c>
      <c r="H25" s="5"/>
      <c r="I25" s="5"/>
      <c r="J25" s="6"/>
      <c r="K25" s="6"/>
    </row>
    <row r="26" spans="1:11" x14ac:dyDescent="0.3">
      <c r="A26" s="5" t="s">
        <v>26</v>
      </c>
      <c r="B26" s="5" t="s">
        <v>27</v>
      </c>
      <c r="C26" s="5" t="s">
        <v>11</v>
      </c>
      <c r="D26" s="5">
        <v>840000</v>
      </c>
      <c r="E26" s="5" t="s">
        <v>12</v>
      </c>
      <c r="F26" s="6">
        <v>46004</v>
      </c>
      <c r="G26" s="5" t="str">
        <v>TEP</v>
      </c>
      <c r="H26" s="5"/>
      <c r="I26" s="5"/>
      <c r="J26" s="6"/>
      <c r="K26" s="6"/>
    </row>
    <row r="27" spans="1:11" x14ac:dyDescent="0.3">
      <c r="A27" s="5" t="s">
        <v>28</v>
      </c>
      <c r="B27" s="5" t="s">
        <v>29</v>
      </c>
      <c r="C27" s="5" t="s">
        <v>13</v>
      </c>
      <c r="D27" s="5">
        <v>600000</v>
      </c>
      <c r="E27" s="5" t="s">
        <v>14</v>
      </c>
      <c r="F27" s="6">
        <v>45970</v>
      </c>
      <c r="G27" s="5" t="str">
        <v>JEP</v>
      </c>
      <c r="H27" s="5"/>
      <c r="I27" s="5"/>
      <c r="J27" s="6"/>
      <c r="K27" s="6"/>
    </row>
    <row r="28" spans="1:11" x14ac:dyDescent="0.3">
      <c r="A28" s="5" t="s">
        <v>28</v>
      </c>
      <c r="B28" s="5" t="s">
        <v>29</v>
      </c>
      <c r="C28" s="5" t="s">
        <v>15</v>
      </c>
      <c r="D28" s="5">
        <v>610000</v>
      </c>
      <c r="E28" s="5" t="s">
        <v>16</v>
      </c>
      <c r="F28" s="6">
        <v>45976</v>
      </c>
      <c r="G28" s="5" t="str">
        <v>KEP</v>
      </c>
      <c r="H28" s="5"/>
      <c r="I28" s="5"/>
      <c r="J28" s="6"/>
      <c r="K28" s="6"/>
    </row>
    <row r="29" spans="1:11" x14ac:dyDescent="0.3">
      <c r="A29" s="5" t="s">
        <v>28</v>
      </c>
      <c r="B29" s="5" t="s">
        <v>29</v>
      </c>
      <c r="C29" s="5" t="s">
        <v>17</v>
      </c>
      <c r="D29" s="5">
        <v>590000</v>
      </c>
      <c r="E29" s="5" t="s">
        <v>18</v>
      </c>
      <c r="F29" s="6">
        <v>45982</v>
      </c>
      <c r="G29" s="5" t="str">
        <v>JEP</v>
      </c>
      <c r="H29" s="5"/>
      <c r="I29" s="5"/>
      <c r="J29" s="6"/>
      <c r="K29" s="6"/>
    </row>
    <row r="30" spans="1:11" x14ac:dyDescent="0.3">
      <c r="A30" s="5" t="s">
        <v>28</v>
      </c>
      <c r="B30" s="5" t="s">
        <v>29</v>
      </c>
      <c r="C30" s="5" t="s">
        <v>21</v>
      </c>
      <c r="D30" s="5">
        <v>620000</v>
      </c>
      <c r="E30" s="5" t="s">
        <v>25</v>
      </c>
      <c r="F30" s="6">
        <v>45993</v>
      </c>
      <c r="G30" s="5" t="str">
        <v>SEP</v>
      </c>
      <c r="H30" s="5"/>
      <c r="I30" s="5"/>
      <c r="J30" s="6"/>
      <c r="K30" s="6"/>
    </row>
    <row r="31" spans="1:11" x14ac:dyDescent="0.3">
      <c r="A31" s="5" t="s">
        <v>28</v>
      </c>
      <c r="B31" s="5" t="s">
        <v>29</v>
      </c>
      <c r="C31" s="5" t="s">
        <v>7</v>
      </c>
      <c r="D31" s="5">
        <v>600000</v>
      </c>
      <c r="E31" s="5" t="s">
        <v>8</v>
      </c>
      <c r="F31" s="6">
        <v>45999</v>
      </c>
      <c r="G31" s="5" t="str">
        <v>AEP</v>
      </c>
      <c r="H31" s="5"/>
      <c r="I31" s="5"/>
      <c r="J31" s="6"/>
      <c r="K31" s="6"/>
    </row>
    <row r="32" spans="1:11" x14ac:dyDescent="0.3">
      <c r="A32" s="5" t="s">
        <v>28</v>
      </c>
      <c r="B32" s="5" t="s">
        <v>29</v>
      </c>
      <c r="C32" s="5" t="s">
        <v>9</v>
      </c>
      <c r="D32" s="5">
        <v>610000</v>
      </c>
      <c r="E32" s="5" t="s">
        <v>10</v>
      </c>
      <c r="F32" s="6">
        <v>46005</v>
      </c>
      <c r="G32" s="5" t="str">
        <v>NEP</v>
      </c>
      <c r="H32" s="5"/>
      <c r="I32" s="5"/>
      <c r="J32" s="6"/>
      <c r="K32" s="6"/>
    </row>
    <row r="33" spans="1:11" x14ac:dyDescent="0.3">
      <c r="A33" s="5" t="s">
        <v>30</v>
      </c>
      <c r="B33" s="5" t="s">
        <v>31</v>
      </c>
      <c r="C33" s="5" t="s">
        <v>11</v>
      </c>
      <c r="D33" s="5">
        <v>750000</v>
      </c>
      <c r="E33" s="5" t="s">
        <v>12</v>
      </c>
      <c r="F33" s="6">
        <v>45971</v>
      </c>
      <c r="G33" s="5" t="str">
        <v>TEP</v>
      </c>
      <c r="H33" s="5"/>
      <c r="I33" s="5"/>
      <c r="J33" s="6"/>
      <c r="K33" s="6"/>
    </row>
    <row r="34" spans="1:11" x14ac:dyDescent="0.3">
      <c r="A34" s="5" t="s">
        <v>30</v>
      </c>
      <c r="B34" s="5" t="s">
        <v>31</v>
      </c>
      <c r="C34" s="5" t="s">
        <v>13</v>
      </c>
      <c r="D34" s="5">
        <v>770000</v>
      </c>
      <c r="E34" s="5" t="s">
        <v>14</v>
      </c>
      <c r="F34" s="6">
        <v>45977</v>
      </c>
      <c r="G34" s="5" t="str">
        <v>JEP</v>
      </c>
      <c r="H34" s="5"/>
      <c r="I34" s="5"/>
      <c r="J34" s="6"/>
      <c r="K34" s="6"/>
    </row>
    <row r="35" spans="1:11" x14ac:dyDescent="0.3">
      <c r="A35" s="5" t="s">
        <v>30</v>
      </c>
      <c r="B35" s="5" t="s">
        <v>31</v>
      </c>
      <c r="C35" s="5" t="s">
        <v>15</v>
      </c>
      <c r="D35" s="5">
        <v>760000</v>
      </c>
      <c r="E35" s="5" t="s">
        <v>16</v>
      </c>
      <c r="F35" s="6">
        <v>45983</v>
      </c>
      <c r="G35" s="5" t="str">
        <v>KEP</v>
      </c>
      <c r="H35" s="5"/>
      <c r="I35" s="5"/>
      <c r="J35" s="6"/>
      <c r="K35" s="6"/>
    </row>
    <row r="36" spans="1:11" x14ac:dyDescent="0.3">
      <c r="A36" s="5" t="s">
        <v>30</v>
      </c>
      <c r="B36" s="5" t="s">
        <v>31</v>
      </c>
      <c r="C36" s="5" t="s">
        <v>17</v>
      </c>
      <c r="D36" s="5">
        <v>780000</v>
      </c>
      <c r="E36" s="5" t="s">
        <v>18</v>
      </c>
      <c r="F36" s="6">
        <v>45994</v>
      </c>
      <c r="G36" s="5" t="str">
        <v>JEP</v>
      </c>
      <c r="H36" s="5"/>
      <c r="I36" s="5"/>
      <c r="J36" s="6"/>
      <c r="K36" s="6"/>
    </row>
    <row r="37" spans="1:11" x14ac:dyDescent="0.3">
      <c r="A37" s="5" t="s">
        <v>30</v>
      </c>
      <c r="B37" s="5" t="s">
        <v>31</v>
      </c>
      <c r="C37" s="5" t="s">
        <v>21</v>
      </c>
      <c r="D37" s="5">
        <v>790000</v>
      </c>
      <c r="E37" s="5" t="s">
        <v>22</v>
      </c>
      <c r="F37" s="6">
        <v>46000</v>
      </c>
      <c r="G37" s="5" t="str">
        <v>CEP</v>
      </c>
      <c r="H37" s="5"/>
      <c r="I37" s="5"/>
      <c r="J37" s="6"/>
      <c r="K37" s="6"/>
    </row>
    <row r="38" spans="1:11" x14ac:dyDescent="0.3">
      <c r="A38" s="5" t="s">
        <v>30</v>
      </c>
      <c r="B38" s="5" t="s">
        <v>31</v>
      </c>
      <c r="C38" s="5" t="s">
        <v>7</v>
      </c>
      <c r="D38" s="5">
        <v>800000</v>
      </c>
      <c r="E38" s="5" t="s">
        <v>8</v>
      </c>
      <c r="F38" s="6">
        <v>46006</v>
      </c>
      <c r="G38" s="5" t="str">
        <v>AEP</v>
      </c>
      <c r="H38" s="5"/>
      <c r="I38" s="5"/>
      <c r="J38" s="6"/>
      <c r="K3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weekly_report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Shahriare Khan Shahrukh</cp:lastModifiedBy>
  <dcterms:created xsi:type="dcterms:W3CDTF">2026-04-10T17:14:25Z</dcterms:created>
  <dcterms:modified xsi:type="dcterms:W3CDTF">2026-04-10T17:14:25Z</dcterms:modified>
</cp:coreProperties>
</file>